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Scientific Computing - Lab\SC3\"/>
    </mc:Choice>
  </mc:AlternateContent>
  <xr:revisionPtr revIDLastSave="0" documentId="13_ncr:1_{BB2CFD52-3266-4FDA-AF8F-371A367791D2}" xr6:coauthVersionLast="47" xr6:coauthVersionMax="47" xr10:uidLastSave="{00000000-0000-0000-0000-000000000000}"/>
  <bookViews>
    <workbookView xWindow="-108" yWindow="-108" windowWidth="23256" windowHeight="13896" xr2:uid="{F871033B-6DF3-4CAB-A87B-9539B037E70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B21" i="1"/>
  <c r="C16" i="1"/>
  <c r="C15" i="1"/>
  <c r="C14" i="1"/>
  <c r="C13" i="1"/>
  <c r="C12" i="1"/>
  <c r="C11" i="1"/>
  <c r="C9" i="1"/>
  <c r="C10" i="1"/>
  <c r="D9" i="1"/>
  <c r="E9" i="1"/>
  <c r="F9" i="1"/>
  <c r="G9" i="1"/>
  <c r="H9" i="1"/>
  <c r="I9" i="1"/>
  <c r="J9" i="1"/>
  <c r="D8" i="1"/>
  <c r="E8" i="1"/>
  <c r="F8" i="1"/>
  <c r="G8" i="1"/>
  <c r="H8" i="1"/>
  <c r="I8" i="1"/>
  <c r="J8" i="1"/>
  <c r="C8" i="1"/>
  <c r="C7" i="1"/>
  <c r="D3" i="1"/>
  <c r="E3" i="1" l="1"/>
  <c r="F3" i="1" s="1"/>
  <c r="G3" i="1" s="1"/>
  <c r="H3" i="1" s="1"/>
  <c r="I3" i="1" s="1"/>
  <c r="J3" i="1" s="1"/>
  <c r="C6" i="1" l="1"/>
</calcChain>
</file>

<file path=xl/sharedStrings.xml><?xml version="1.0" encoding="utf-8"?>
<sst xmlns="http://schemas.openxmlformats.org/spreadsheetml/2006/main" count="18" uniqueCount="18">
  <si>
    <t>x</t>
  </si>
  <si>
    <t>y</t>
  </si>
  <si>
    <t>sum x</t>
  </si>
  <si>
    <t>sum y</t>
  </si>
  <si>
    <t>x^2</t>
  </si>
  <si>
    <t>xy</t>
  </si>
  <si>
    <t>sum (x*y)</t>
  </si>
  <si>
    <t>sum x * sum y</t>
  </si>
  <si>
    <t>sum (x^2)</t>
  </si>
  <si>
    <t>(sum x)^2</t>
  </si>
  <si>
    <t>N * sum(x*y)</t>
  </si>
  <si>
    <t>N * sum(x^2)</t>
  </si>
  <si>
    <t xml:space="preserve">m = </t>
  </si>
  <si>
    <t xml:space="preserve">b = </t>
  </si>
  <si>
    <t>α=(AT A)^−1 AT y</t>
  </si>
  <si>
    <t>SIMULASI  HITUNG MANUAL DATA PAKE EXCEL</t>
  </si>
  <si>
    <t>ctr+ shift untuk data paling ujng</t>
  </si>
  <si>
    <t>N jumlah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</si>
</sst>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255814</xdr:colOff>
      <xdr:row>17</xdr:row>
      <xdr:rowOff>8164</xdr:rowOff>
    </xdr:from>
    <xdr:ext cx="2321789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5DFC407B-C051-3C2C-4583-920C097195C0}"/>
                </a:ext>
              </a:extLst>
            </xdr:cNvPr>
            <xdr:cNvSpPr txBox="1"/>
          </xdr:nvSpPr>
          <xdr:spPr>
            <a:xfrm>
              <a:off x="865414" y="3056164"/>
              <a:ext cx="2321789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𝑠𝑢𝑚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)−(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∗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𝑠𝑢𝑚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^2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)−(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)^2</m:t>
                        </m:r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5DFC407B-C051-3C2C-4583-920C097195C0}"/>
                </a:ext>
              </a:extLst>
            </xdr:cNvPr>
            <xdr:cNvSpPr txBox="1"/>
          </xdr:nvSpPr>
          <xdr:spPr>
            <a:xfrm>
              <a:off x="865414" y="3056164"/>
              <a:ext cx="2321789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(𝑁 ∗𝑠𝑢𝑚(𝑥∗𝑦)  )−(𝑠𝑢𝑚 𝑥 ∗𝑠𝑢𝑚 𝑦)</a:t>
              </a:r>
              <a:r>
                <a:rPr lang="id-ID" sz="1100" b="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(𝑁 ∗𝑠𝑢𝑚 (𝑥^2))−(𝑠𝑢𝑚 𝑥)^2</a:t>
              </a:r>
              <a:r>
                <a:rPr lang="id-ID" sz="1100" b="0" i="0">
                  <a:latin typeface="Cambria Math" panose="02040503050406030204" pitchFamily="18" charset="0"/>
                </a:rPr>
                <a:t>)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7</xdr:col>
      <xdr:colOff>234043</xdr:colOff>
      <xdr:row>16</xdr:row>
      <xdr:rowOff>187777</xdr:rowOff>
    </xdr:from>
    <xdr:ext cx="1498487" cy="3213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DD32EF7D-2719-34B9-8B6F-AC017153C603}"/>
                </a:ext>
              </a:extLst>
            </xdr:cNvPr>
            <xdr:cNvSpPr txBox="1"/>
          </xdr:nvSpPr>
          <xdr:spPr>
            <a:xfrm>
              <a:off x="4778829" y="3045277"/>
              <a:ext cx="1498487" cy="3213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id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∗(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DD32EF7D-2719-34B9-8B6F-AC017153C603}"/>
                </a:ext>
              </a:extLst>
            </xdr:cNvPr>
            <xdr:cNvSpPr txBox="1"/>
          </xdr:nvSpPr>
          <xdr:spPr>
            <a:xfrm>
              <a:off x="4778829" y="3045277"/>
              <a:ext cx="1498487" cy="3213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d-ID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𝑠𝑢𝑚 𝑦 −(𝑚 ∗(𝑠𝑢𝑚 𝑥))</a:t>
              </a:r>
              <a:r>
                <a:rPr lang="id-ID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</a:rPr>
                <a:t>𝑁</a:t>
              </a:r>
              <a:endParaRPr lang="id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0424-D827-4BF4-9D43-9E85436FE2D0}">
  <dimension ref="B1:K25"/>
  <sheetViews>
    <sheetView tabSelected="1" topLeftCell="A5" zoomScale="175" zoomScaleNormal="175" workbookViewId="0">
      <selection activeCell="H22" sqref="H22"/>
    </sheetView>
  </sheetViews>
  <sheetFormatPr defaultRowHeight="14.4" x14ac:dyDescent="0.3"/>
  <cols>
    <col min="2" max="2" width="13.33203125" bestFit="1" customWidth="1"/>
  </cols>
  <sheetData>
    <row r="1" spans="2:11" x14ac:dyDescent="0.3">
      <c r="B1" t="s">
        <v>15</v>
      </c>
    </row>
    <row r="3" spans="2:11" x14ac:dyDescent="0.3">
      <c r="B3" t="s">
        <v>0</v>
      </c>
      <c r="C3">
        <v>1</v>
      </c>
      <c r="D3">
        <f>C3+1</f>
        <v>2</v>
      </c>
      <c r="E3">
        <f t="shared" ref="E3:J3" si="0">D3+1</f>
        <v>3</v>
      </c>
      <c r="F3">
        <f t="shared" si="0"/>
        <v>4</v>
      </c>
      <c r="G3">
        <f t="shared" si="0"/>
        <v>5</v>
      </c>
      <c r="H3">
        <f t="shared" si="0"/>
        <v>6</v>
      </c>
      <c r="I3">
        <f t="shared" si="0"/>
        <v>7</v>
      </c>
      <c r="J3">
        <f t="shared" si="0"/>
        <v>8</v>
      </c>
    </row>
    <row r="4" spans="2:11" x14ac:dyDescent="0.3">
      <c r="B4" t="s">
        <v>1</v>
      </c>
      <c r="C4">
        <v>2</v>
      </c>
      <c r="D4">
        <v>5</v>
      </c>
      <c r="E4">
        <v>1</v>
      </c>
      <c r="F4">
        <v>7</v>
      </c>
      <c r="G4">
        <v>9</v>
      </c>
      <c r="H4">
        <v>3</v>
      </c>
      <c r="I4">
        <v>6</v>
      </c>
      <c r="J4">
        <v>10</v>
      </c>
    </row>
    <row r="6" spans="2:11" x14ac:dyDescent="0.3">
      <c r="B6" t="s">
        <v>2</v>
      </c>
      <c r="C6">
        <f>SUM(C3:J3)</f>
        <v>36</v>
      </c>
    </row>
    <row r="7" spans="2:11" x14ac:dyDescent="0.3">
      <c r="B7" t="s">
        <v>3</v>
      </c>
      <c r="C7">
        <f>SUM(C4:J4)</f>
        <v>43</v>
      </c>
    </row>
    <row r="8" spans="2:11" x14ac:dyDescent="0.3">
      <c r="B8" t="s">
        <v>4</v>
      </c>
      <c r="C8">
        <f>C3^2</f>
        <v>1</v>
      </c>
      <c r="D8">
        <f t="shared" ref="D8:J9" si="1">D3^2</f>
        <v>4</v>
      </c>
      <c r="E8">
        <f t="shared" si="1"/>
        <v>9</v>
      </c>
      <c r="F8">
        <f t="shared" si="1"/>
        <v>16</v>
      </c>
      <c r="G8">
        <f t="shared" si="1"/>
        <v>25</v>
      </c>
      <c r="H8">
        <f t="shared" si="1"/>
        <v>36</v>
      </c>
      <c r="I8">
        <f t="shared" si="1"/>
        <v>49</v>
      </c>
      <c r="J8">
        <f t="shared" si="1"/>
        <v>64</v>
      </c>
    </row>
    <row r="9" spans="2:11" x14ac:dyDescent="0.3">
      <c r="B9" t="s">
        <v>5</v>
      </c>
      <c r="C9">
        <f>C3*C4</f>
        <v>2</v>
      </c>
      <c r="D9">
        <f t="shared" ref="D9:J9" si="2">D3*D4</f>
        <v>10</v>
      </c>
      <c r="E9">
        <f t="shared" si="2"/>
        <v>3</v>
      </c>
      <c r="F9">
        <f t="shared" si="2"/>
        <v>28</v>
      </c>
      <c r="G9">
        <f t="shared" si="2"/>
        <v>45</v>
      </c>
      <c r="H9">
        <f t="shared" si="2"/>
        <v>18</v>
      </c>
      <c r="I9">
        <f t="shared" si="2"/>
        <v>42</v>
      </c>
      <c r="J9">
        <f t="shared" si="2"/>
        <v>80</v>
      </c>
      <c r="K9" t="s">
        <v>16</v>
      </c>
    </row>
    <row r="10" spans="2:11" x14ac:dyDescent="0.3">
      <c r="B10" t="s">
        <v>6</v>
      </c>
      <c r="C10">
        <f>SUM(C9:J9)</f>
        <v>228</v>
      </c>
    </row>
    <row r="11" spans="2:11" x14ac:dyDescent="0.3">
      <c r="B11" t="s">
        <v>7</v>
      </c>
      <c r="C11">
        <f>C6*C7</f>
        <v>1548</v>
      </c>
    </row>
    <row r="12" spans="2:11" x14ac:dyDescent="0.3">
      <c r="B12" t="s">
        <v>8</v>
      </c>
      <c r="C12">
        <f>SUM(C8:J8)</f>
        <v>204</v>
      </c>
    </row>
    <row r="13" spans="2:11" x14ac:dyDescent="0.3">
      <c r="B13" t="s">
        <v>9</v>
      </c>
      <c r="C13">
        <f>POWER(C6, 2)</f>
        <v>1296</v>
      </c>
    </row>
    <row r="14" spans="2:11" x14ac:dyDescent="0.3">
      <c r="B14" t="s">
        <v>17</v>
      </c>
      <c r="C14">
        <f>COUNT(C3:J3)</f>
        <v>8</v>
      </c>
    </row>
    <row r="15" spans="2:11" x14ac:dyDescent="0.3">
      <c r="B15" t="s">
        <v>10</v>
      </c>
      <c r="C15">
        <f>C14*C10</f>
        <v>1824</v>
      </c>
    </row>
    <row r="16" spans="2:11" x14ac:dyDescent="0.3">
      <c r="B16" t="s">
        <v>11</v>
      </c>
      <c r="C16">
        <f>C14*C12</f>
        <v>1632</v>
      </c>
    </row>
    <row r="18" spans="2:8" x14ac:dyDescent="0.3">
      <c r="B18" t="s">
        <v>12</v>
      </c>
      <c r="H18" t="s">
        <v>13</v>
      </c>
    </row>
    <row r="21" spans="2:8" x14ac:dyDescent="0.3">
      <c r="B21">
        <f>(C15-C11)/(C16-C13)</f>
        <v>0.8214285714285714</v>
      </c>
      <c r="H21">
        <f>(C7-(B21*C6))/C14</f>
        <v>1.6785714285714288</v>
      </c>
    </row>
    <row r="25" spans="2:8" x14ac:dyDescent="0.3">
      <c r="E25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Zenli Huangtara</dc:creator>
  <cp:lastModifiedBy>SATYA VIRYA ATMADJA</cp:lastModifiedBy>
  <dcterms:created xsi:type="dcterms:W3CDTF">2026-01-27T03:49:49Z</dcterms:created>
  <dcterms:modified xsi:type="dcterms:W3CDTF">2026-01-28T01:25:07Z</dcterms:modified>
</cp:coreProperties>
</file>